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drechnu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<sst xmlns="http://schemas.openxmlformats.org/spreadsheetml/2006/main" count="33" uniqueCount="33">
  <si>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Handrechnung einer Stunde — Kontrolle der Code-Berechnung</t>
  </si>
  <si>
    <t xml:space="preserve">Stunde: 2024-06-10 00:00 UTC  |  Bilanzraum DE-LU  |  Lifecycle-Faktoren</t>
  </si>
  <si>
    <t xml:space="preserve">Blaue Zahlen = Eingaben (aus ENTSO-E bzw. emissionFactors.js). Schwarze Zellen = Formeln.</t>
  </si>
  <si>
    <t xml:space="preserve">Erzeugung: ENTSO-E Actual Generation per Production Type, BZN|DE-LU, stündlich aggregiert.</t>
  </si>
  <si>
    <t xml:space="preserve">Faktoren: JRC/Wirkungsgrad (fossil), IPCC AR5 Annex III (EE), Biomasse nach GGC-Konvention.</t>
  </si>
  <si>
    <t xml:space="preserve">Energieträger</t>
  </si>
  <si>
    <t xml:space="preserve">Erzeugung [MWh]</t>
  </si>
  <si>
    <t xml:space="preserve">Faktor [g CO2eq/kWh]</t>
  </si>
  <si>
    <t xml:space="preserve">Emissionen [t CO2eq]</t>
  </si>
  <si>
    <t xml:space="preserve">Biomasse</t>
  </si>
  <si>
    <t xml:space="preserve">Braunkohle</t>
  </si>
  <si>
    <t xml:space="preserve">Sonstige Konventionelle</t>
  </si>
  <si>
    <t xml:space="preserve">Erdgas</t>
  </si>
  <si>
    <t xml:space="preserve">Steinkohle</t>
  </si>
  <si>
    <t xml:space="preserve">Sonstige Erneuerbare</t>
  </si>
  <si>
    <t xml:space="preserve">Wasserkraft</t>
  </si>
  <si>
    <t xml:space="preserve">Photovoltaik</t>
  </si>
  <si>
    <t xml:space="preserve">Wind Offshore</t>
  </si>
  <si>
    <t xml:space="preserve">Wind Onshore</t>
  </si>
  <si>
    <t xml:space="preserve">Pumpspeicher</t>
  </si>
  <si>
    <t xml:space="preserve">SUMME</t>
  </si>
  <si>
    <t xml:space="preserve">ERGEBNIS</t>
  </si>
  <si>
    <t xml:space="preserve">CO2-Intensität [g CO2eq/kWh]</t>
  </si>
  <si>
    <t xml:space="preserve">Summe Emissionen [t] x 1000 / Summe Erzeugung [MWh]</t>
  </si>
  <si>
    <t xml:space="preserve">Wert laut Code (intensity_lc aus der CSV):</t>
  </si>
  <si>
    <t xml:space="preserve">&lt;-- HIER EINTRAGEN (erste Zeile der eigene_berechnung-CSV)</t>
  </si>
  <si>
    <t xml:space="preserve">Differenz</t>
  </si>
  <si>
    <t xml:space="preserve">Übereinstimmung im Rahmen der Rundung = Code bestätigt.</t>
  </si>
  <si>
    <t xml:space="preserve">Hinweise</t>
  </si>
  <si>
    <t xml:space="preserve">– Pumpspeicher: 384 g/kWh ist der aus der Woche abgeleitete Entladefaktor (Ausgabe 'Entladefaktor LC').</t>
  </si>
  <si>
    <t xml:space="preserve">– Bei nur 4 MWh in dieser Stunde ist der Einfluss &lt; 0,1 g/kWh.</t>
  </si>
  <si>
    <t xml:space="preserve">– Einheiten: MWh x g/kWh / 1000 = t. Rückrechnung: t x 1000 / MWh = g/kWh.</t>
  </si>
  <si>
    <t xml:space="preserve">– Genau diese doppelte Umrechnung war der Fehler im Vorgängerprojekt.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</si>
</sst>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26.85" hidden="false" customHeight="false" outlineLevel="0" collapsed="false">
      <c r="A8" s="3" t="s">
        <v>5</v>
      </c>
      <c r="B8" s="3" t="s">
        <v>6</v>
      </c>
      <c r="C8" s="3" t="s">
        <v>7</v>
      </c>
      <c r="D8" s="3" t="s">
        <v>8</v>
      </c>
    </row>
    <row r="9" customFormat="false" ht="15" hidden="false" customHeight="false" outlineLevel="0" collapsed="false">
      <c r="A9" s="2" t="s">
        <v>9</v>
      </c>
      <c r="B9" s="4" t="n">
        <v>3741</v>
      </c>
      <c r="C9" s="4" t="n">
        <v>53</v>
      </c>
      <c r="D9" s="5" t="n">
        <f aca="false">B9*C9/1000</f>
        <v>198.273</v>
      </c>
    </row>
    <row r="10" customFormat="false" ht="15" hidden="false" customHeight="false" outlineLevel="0" collapsed="false">
      <c r="A10" s="2" t="s">
        <v>10</v>
      </c>
      <c r="B10" s="4" t="n">
        <v>6428</v>
      </c>
      <c r="C10" s="4" t="n">
        <v>1097</v>
      </c>
      <c r="D10" s="5" t="n">
        <f aca="false">B10*C10/1000</f>
        <v>7051.516</v>
      </c>
    </row>
    <row r="11" customFormat="false" ht="15" hidden="false" customHeight="false" outlineLevel="0" collapsed="false">
      <c r="A11" s="2" t="s">
        <v>11</v>
      </c>
      <c r="B11" s="4" t="n">
        <v>1653</v>
      </c>
      <c r="C11" s="4" t="n">
        <v>1384</v>
      </c>
      <c r="D11" s="5" t="n">
        <f aca="false">B11*C11/1000</f>
        <v>2287.752</v>
      </c>
    </row>
    <row r="12" customFormat="false" ht="15" hidden="false" customHeight="false" outlineLevel="0" collapsed="false">
      <c r="A12" s="2" t="s">
        <v>12</v>
      </c>
      <c r="B12" s="4" t="n">
        <v>5340</v>
      </c>
      <c r="C12" s="4" t="n">
        <v>492</v>
      </c>
      <c r="D12" s="5" t="n">
        <f aca="false">B12*C12/1000</f>
        <v>2627.28</v>
      </c>
    </row>
    <row r="13" customFormat="false" ht="15" hidden="false" customHeight="false" outlineLevel="0" collapsed="false">
      <c r="A13" s="2" t="s">
        <v>13</v>
      </c>
      <c r="B13" s="4" t="n">
        <v>1026</v>
      </c>
      <c r="C13" s="4" t="n">
        <v>968</v>
      </c>
      <c r="D13" s="5" t="n">
        <f aca="false">B13*C13/1000</f>
        <v>993.168</v>
      </c>
    </row>
    <row r="14" customFormat="false" ht="15" hidden="false" customHeight="false" outlineLevel="0" collapsed="false">
      <c r="A14" s="2" t="s">
        <v>14</v>
      </c>
      <c r="B14" s="4" t="n">
        <v>92</v>
      </c>
      <c r="C14" s="4" t="n">
        <v>48</v>
      </c>
      <c r="D14" s="5" t="n">
        <f aca="false">B14*C14/1000</f>
        <v>4.416</v>
      </c>
    </row>
    <row r="15" customFormat="false" ht="15" hidden="false" customHeight="false" outlineLevel="0" collapsed="false">
      <c r="A15" s="2" t="s">
        <v>15</v>
      </c>
      <c r="B15" s="4" t="n">
        <v>1999</v>
      </c>
      <c r="C15" s="4" t="n">
        <v>24</v>
      </c>
      <c r="D15" s="5" t="n">
        <f aca="false">B15*C15/1000</f>
        <v>47.976</v>
      </c>
    </row>
    <row r="16" customFormat="false" ht="15" hidden="false" customHeight="false" outlineLevel="0" collapsed="false">
      <c r="A16" s="2" t="s">
        <v>16</v>
      </c>
      <c r="B16" s="4" t="n">
        <v>3</v>
      </c>
      <c r="C16" s="4" t="n">
        <v>48</v>
      </c>
      <c r="D16" s="5" t="n">
        <f aca="false">B16*C16/1000</f>
        <v>0.144</v>
      </c>
    </row>
    <row r="17" customFormat="false" ht="15" hidden="false" customHeight="false" outlineLevel="0" collapsed="false">
      <c r="A17" s="2" t="s">
        <v>17</v>
      </c>
      <c r="B17" s="4" t="n">
        <v>4105</v>
      </c>
      <c r="C17" s="4" t="n">
        <v>12</v>
      </c>
      <c r="D17" s="5" t="n">
        <f aca="false">B17*C17/1000</f>
        <v>49.26</v>
      </c>
    </row>
    <row r="18" customFormat="false" ht="15" hidden="false" customHeight="false" outlineLevel="0" collapsed="false">
      <c r="A18" s="2" t="s">
        <v>18</v>
      </c>
      <c r="B18" s="4" t="n">
        <v>8872</v>
      </c>
      <c r="C18" s="4" t="n">
        <v>11</v>
      </c>
      <c r="D18" s="5" t="n">
        <f aca="false">B18*C18/1000</f>
        <v>97.592</v>
      </c>
    </row>
    <row r="19" customFormat="false" ht="15" hidden="false" customHeight="false" outlineLevel="0" collapsed="false">
      <c r="A19" s="2" t="s">
        <v>19</v>
      </c>
      <c r="B19" s="4" t="n">
        <v>4</v>
      </c>
      <c r="C19" s="4" t="n">
        <v>384</v>
      </c>
      <c r="D19" s="5" t="n">
        <f aca="false">B19*C19/1000</f>
        <v>1.536</v>
      </c>
    </row>
    <row r="20" customFormat="false" ht="15" hidden="false" customHeight="false" outlineLevel="0" collapsed="false">
      <c r="A20" s="6" t="s">
        <v>20</v>
      </c>
      <c r="B20" s="7" t="n">
        <f aca="false">SUM(B9:B19)</f>
        <v>33263</v>
      </c>
      <c r="C20" s="8"/>
      <c r="D20" s="9" t="n">
        <f aca="false">SUM(D9:D19)</f>
        <v>13358.913</v>
      </c>
    </row>
    <row r="22" customFormat="false" ht="15" hidden="false" customHeight="false" outlineLevel="0" collapsed="false">
      <c r="A22" s="10" t="s">
        <v>21</v>
      </c>
    </row>
    <row r="23" customFormat="false" ht="15" hidden="false" customHeight="false" outlineLevel="0" collapsed="false">
      <c r="A23" s="2" t="s">
        <v>22</v>
      </c>
      <c r="B23" s="11" t="n">
        <f aca="false">D20*1000/B20</f>
        <v>401.614797222139</v>
      </c>
      <c r="C23" s="2" t="s">
        <v>23</v>
      </c>
    </row>
    <row r="25" customFormat="false" ht="15" hidden="false" customHeight="false" outlineLevel="0" collapsed="false">
      <c r="A25" s="2" t="s">
        <v>24</v>
      </c>
      <c r="B25" s="12"/>
      <c r="C25" s="13" t="s">
        <v>25</v>
      </c>
    </row>
    <row r="26" customFormat="false" ht="15" hidden="false" customHeight="false" outlineLevel="0" collapsed="false">
      <c r="A26" s="2" t="s">
        <v>26</v>
      </c>
      <c r="B26" s="14" t="str">
        <f aca="false">IF(ISBLANK(B25),"",B23-B25)</f>
        <v/>
      </c>
      <c r="C26" s="2" t="s">
        <v>27</v>
      </c>
    </row>
    <row r="28" customFormat="false" ht="15" hidden="false" customHeight="false" outlineLevel="0" collapsed="false">
      <c r="A28" s="10" t="s">
        <v>28</v>
      </c>
    </row>
    <row r="29" customFormat="false" ht="15" hidden="false" customHeight="false" outlineLevel="0" collapsed="false">
      <c r="A29" s="2" t="s">
        <v>29</v>
      </c>
    </row>
    <row r="30" customFormat="false" ht="15" hidden="false" customHeight="false" outlineLevel="0" collapsed="false">
      <c r="A30" s="2" t="s">
        <v>30</v>
      </c>
    </row>
    <row r="31" customFormat="false" ht="15" hidden="false" customHeight="false" outlineLevel="0" collapsed="false">
      <c r="A31" s="2" t="s">
        <v>31</v>
      </c>
    </row>
    <row r="32" customFormat="false" ht="15" hidden="false" customHeight="false" outlineLevel="0" collapsed="false">
      <c r="A32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2026-08-08T01:59:21Z</dcterms:created>
  <dc:creator>openpyxl</dc:creator>
  <dc:description/>
  <dc:language>en-US</dc:language>
  <cp:lastModifiedBy/>
  <dcterms:modified xsi:type="dcterms:W3CDTF">2026-08-08T01:59:21Z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